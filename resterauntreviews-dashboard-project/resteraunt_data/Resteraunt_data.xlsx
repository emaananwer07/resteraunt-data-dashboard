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aananwer/Desktop/resterauntreviews-dashboard-project/resteraunt_data/"/>
    </mc:Choice>
  </mc:AlternateContent>
  <xr:revisionPtr revIDLastSave="0" documentId="13_ncr:1_{3A16E8E1-1C62-7742-92D1-464888EF78FD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Food_Ratings" sheetId="1" r:id="rId1"/>
    <sheet name="Analysis" sheetId="4" r:id="rId2"/>
    <sheet name="Cuisine_Lookup" sheetId="3" r:id="rId3"/>
    <sheet name="Location_Lookup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D15" i="1"/>
  <c r="D9" i="1"/>
  <c r="D12" i="1"/>
  <c r="D7" i="1"/>
  <c r="D20" i="1"/>
  <c r="D18" i="1"/>
  <c r="D19" i="1"/>
  <c r="D5" i="1"/>
  <c r="D4" i="1"/>
  <c r="D17" i="1"/>
  <c r="D21" i="1"/>
  <c r="D11" i="1"/>
  <c r="D16" i="1"/>
  <c r="D10" i="1"/>
  <c r="D14" i="1"/>
  <c r="D8" i="1"/>
  <c r="D3" i="1"/>
  <c r="D13" i="1"/>
  <c r="D2" i="1"/>
  <c r="D6" i="1"/>
  <c r="F6" i="1"/>
  <c r="F2" i="1"/>
  <c r="F15" i="1"/>
  <c r="F9" i="1"/>
  <c r="F12" i="1"/>
  <c r="F7" i="1"/>
  <c r="F20" i="1"/>
  <c r="F18" i="1"/>
  <c r="F19" i="1"/>
  <c r="F5" i="1"/>
  <c r="F4" i="1"/>
  <c r="F17" i="1"/>
  <c r="F21" i="1"/>
  <c r="F11" i="1"/>
  <c r="F16" i="1"/>
  <c r="F10" i="1"/>
  <c r="F14" i="1"/>
  <c r="F8" i="1"/>
  <c r="F3" i="1"/>
  <c r="F13" i="1"/>
  <c r="E5" i="4" l="1"/>
  <c r="E4" i="4"/>
  <c r="E6" i="4"/>
  <c r="E3" i="4"/>
  <c r="E10" i="4"/>
  <c r="E11" i="4"/>
  <c r="E13" i="4"/>
  <c r="E14" i="4"/>
  <c r="E2" i="4"/>
  <c r="E12" i="4"/>
  <c r="E8" i="4"/>
  <c r="E9" i="4"/>
  <c r="E7" i="4"/>
</calcChain>
</file>

<file path=xl/sharedStrings.xml><?xml version="1.0" encoding="utf-8"?>
<sst xmlns="http://schemas.openxmlformats.org/spreadsheetml/2006/main" count="233" uniqueCount="114">
  <si>
    <t>Restaurant ID</t>
  </si>
  <si>
    <t>Restaurant</t>
  </si>
  <si>
    <t>Cuisine ID</t>
  </si>
  <si>
    <t>Cuisine</t>
  </si>
  <si>
    <t>Location</t>
  </si>
  <si>
    <t>Region</t>
  </si>
  <si>
    <t>Rating /10</t>
  </si>
  <si>
    <t>Value for Money</t>
  </si>
  <si>
    <t>Portion Size</t>
  </si>
  <si>
    <t>Would Return</t>
  </si>
  <si>
    <t>F020</t>
  </si>
  <si>
    <t>1915 Lanzhou Beef Noodles</t>
  </si>
  <si>
    <t>CHI</t>
  </si>
  <si>
    <t>Haymarket</t>
  </si>
  <si>
    <t>Good</t>
  </si>
  <si>
    <t>Large</t>
  </si>
  <si>
    <t>Yes</t>
  </si>
  <si>
    <t>F018</t>
  </si>
  <si>
    <t>Buttered</t>
  </si>
  <si>
    <t>KOR</t>
  </si>
  <si>
    <t>Chippendale</t>
  </si>
  <si>
    <t>Poor</t>
  </si>
  <si>
    <t>Medium</t>
  </si>
  <si>
    <t>F010</t>
  </si>
  <si>
    <t>Dough Sisters</t>
  </si>
  <si>
    <t>DLI</t>
  </si>
  <si>
    <t>Edmonson Park</t>
  </si>
  <si>
    <t>F009</t>
  </si>
  <si>
    <t xml:space="preserve">Flakys </t>
  </si>
  <si>
    <t>BRI</t>
  </si>
  <si>
    <t>Oran Park</t>
  </si>
  <si>
    <t>Small</t>
  </si>
  <si>
    <t>No</t>
  </si>
  <si>
    <t>F001</t>
  </si>
  <si>
    <t>Flipp Burgers</t>
  </si>
  <si>
    <t>AME</t>
  </si>
  <si>
    <t>Marsden Park</t>
  </si>
  <si>
    <t>F005</t>
  </si>
  <si>
    <t>Gami Chicken</t>
  </si>
  <si>
    <t>World Square</t>
  </si>
  <si>
    <t>Maybe</t>
  </si>
  <si>
    <t>F017</t>
  </si>
  <si>
    <t>Gram cafe &amp; pancakes</t>
  </si>
  <si>
    <t>JPN</t>
  </si>
  <si>
    <t>The Galeries</t>
  </si>
  <si>
    <t>Average</t>
  </si>
  <si>
    <t>F003</t>
  </si>
  <si>
    <t>Kabul House</t>
  </si>
  <si>
    <t>AFG</t>
  </si>
  <si>
    <t>Merrylands</t>
  </si>
  <si>
    <t>F015</t>
  </si>
  <si>
    <t>Lonestar Ribhouse</t>
  </si>
  <si>
    <t>Penrith</t>
  </si>
  <si>
    <t>F013</t>
  </si>
  <si>
    <t>Lukumades</t>
  </si>
  <si>
    <t>GRE</t>
  </si>
  <si>
    <t>F004</t>
  </si>
  <si>
    <t>Mataam Al Mandi</t>
  </si>
  <si>
    <t>YEM</t>
  </si>
  <si>
    <t>Surry Hills</t>
  </si>
  <si>
    <t>F019</t>
  </si>
  <si>
    <t>Metro Pita Kebab</t>
  </si>
  <si>
    <t>TUR</t>
  </si>
  <si>
    <t>Ultimo</t>
  </si>
  <si>
    <t xml:space="preserve">Meidum </t>
  </si>
  <si>
    <t>F016</t>
  </si>
  <si>
    <t>Mixue</t>
  </si>
  <si>
    <t>F002</t>
  </si>
  <si>
    <t>Nandos</t>
  </si>
  <si>
    <t>POR</t>
  </si>
  <si>
    <t>Rouse Hill</t>
  </si>
  <si>
    <t>F014</t>
  </si>
  <si>
    <t>Ooshman</t>
  </si>
  <si>
    <t>LEB</t>
  </si>
  <si>
    <t>F011</t>
  </si>
  <si>
    <t>Pepperlunch</t>
  </si>
  <si>
    <t>Townhall</t>
  </si>
  <si>
    <t>F007</t>
  </si>
  <si>
    <t>Wingboy</t>
  </si>
  <si>
    <t>Darling square</t>
  </si>
  <si>
    <t>F008</t>
  </si>
  <si>
    <t>Wingshack</t>
  </si>
  <si>
    <t>Blacktown</t>
  </si>
  <si>
    <t>F006</t>
  </si>
  <si>
    <t>Wingstop</t>
  </si>
  <si>
    <t>F012</t>
  </si>
  <si>
    <t>Yochi</t>
  </si>
  <si>
    <t>DES</t>
  </si>
  <si>
    <t>Metric</t>
  </si>
  <si>
    <t>Result</t>
  </si>
  <si>
    <t>Total Rating</t>
  </si>
  <si>
    <t>Average Restaurant Rating</t>
  </si>
  <si>
    <t>American</t>
  </si>
  <si>
    <t>Number of Restaurants</t>
  </si>
  <si>
    <t>Portuguese</t>
  </si>
  <si>
    <t>Number of Restaurants Rated 8+</t>
  </si>
  <si>
    <t>Afghan</t>
  </si>
  <si>
    <t>Highest Restaurant Rating</t>
  </si>
  <si>
    <t>Yemeni</t>
  </si>
  <si>
    <t>Korean</t>
  </si>
  <si>
    <t>British</t>
  </si>
  <si>
    <t>Deli</t>
  </si>
  <si>
    <t>Japanese</t>
  </si>
  <si>
    <t>Dessert</t>
  </si>
  <si>
    <t>Greek</t>
  </si>
  <si>
    <t>Lebanese</t>
  </si>
  <si>
    <t>Chinese</t>
  </si>
  <si>
    <t>Turkish</t>
  </si>
  <si>
    <t>North-West Sydney</t>
  </si>
  <si>
    <t>Western Sydney</t>
  </si>
  <si>
    <t>Parramatta</t>
  </si>
  <si>
    <t>Sydney CBD</t>
  </si>
  <si>
    <t>South-West Sydney</t>
  </si>
  <si>
    <t>Outer-Western Sydney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</si>
</sst>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readingOrder="1"/>
    </xf>
    <xf numFmtId="0" fontId="3" fillId="0" borderId="0" xfId="0" applyFont="1"/>
    <xf numFmtId="0" fontId="4" fillId="0" borderId="0" xfId="1" applyFont="1"/>
    <xf numFmtId="0" fontId="4" fillId="0" borderId="0" xfId="0" applyFont="1"/>
    <xf numFmtId="2" fontId="0" fillId="0" borderId="0" xfId="0" quotePrefix="1" applyNumberFormat="1" applyAlignment="1">
      <alignment horizontal="right"/>
    </xf>
    <xf numFmtId="2" fontId="0" fillId="0" borderId="0" xfId="0" applyNumberFormat="1"/>
    <xf numFmtId="2" fontId="0" fillId="0" borderId="0" xfId="0" quotePrefix="1" applyNumberFormat="1"/>
    <xf numFmtId="0" fontId="5" fillId="0" borderId="0" xfId="0" applyFont="1"/>
    <xf numFmtId="2" fontId="5" fillId="0" borderId="0" xfId="0" applyNumberFormat="1" applyFont="1"/>
    <xf numFmtId="0" fontId="6" fillId="2" borderId="0" xfId="0" applyFont="1" applyFill="1"/>
  </cellXfs>
  <cellStyles count="2">
    <cellStyle name="Hyperlink" xfId="1" builtinId="8"/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369A080-B29F-4C40-8C6C-DE69A24F1EB1}" name="Table3" displayName="Table3" ref="A1:J21" totalsRowShown="0" headerRowDxfId="3">
  <autoFilter ref="A1:J21" xr:uid="{F369A080-B29F-4C40-8C6C-DE69A24F1EB1}"/>
  <sortState xmlns:xlrd2="http://schemas.microsoft.com/office/spreadsheetml/2017/richdata2" ref="A2:J21">
    <sortCondition ref="B2:B21"/>
  </sortState>
  <tableColumns count="10">
    <tableColumn id="1" xr3:uid="{3D89C464-79D6-43F1-B535-583A634C5A67}" name="Restaurant ID"/>
    <tableColumn id="2" xr3:uid="{B7715ADA-7966-4424-AAB7-285FE42B5D02}" name="Restaurant"/>
    <tableColumn id="3" xr3:uid="{73C41A8A-00E0-4208-8FAA-322624C26127}" name="Cuisine ID"/>
    <tableColumn id="4" xr3:uid="{FEA68F49-DA80-450B-8A37-83FF4834D6D3}" name="Cuisine">
      <calculatedColumnFormula>VLOOKUP(C2,CuisineLookup[],2,FALSE)</calculatedColumnFormula>
    </tableColumn>
    <tableColumn id="5" xr3:uid="{644BE4B9-E924-4067-B672-33F4AEF02D53}" name="Location"/>
    <tableColumn id="6" xr3:uid="{44DFFEE2-FC4E-4211-9A55-3097C532A7EE}" name="Region">
      <calculatedColumnFormula>VLOOKUP(E2,LocationLookup[],2,FALSE)</calculatedColumnFormula>
    </tableColumn>
    <tableColumn id="7" xr3:uid="{7FFB55C2-B9D9-4DB2-A378-068D3ED6B7EF}" name="Rating /10" dataDxfId="2"/>
    <tableColumn id="9" xr3:uid="{5AC3D3CE-4293-49FB-AE1A-254EB14EF608}" name="Value for Money"/>
    <tableColumn id="10" xr3:uid="{148D7003-559A-4C36-B628-848AC35EC6D8}" name="Portion Size"/>
    <tableColumn id="11" xr3:uid="{DA113205-48CA-4361-AD10-CE60F8B04513}" name="Would Retur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595A19-99AB-4E5E-8AD6-22979AB29C72}" name="CuisineLookup" displayName="CuisineLookup" ref="A1:B14" totalsRowShown="0" headerRowDxfId="1">
  <autoFilter ref="A1:B14" xr:uid="{B4595A19-99AB-4E5E-8AD6-22979AB29C72}"/>
  <tableColumns count="2">
    <tableColumn id="1" xr3:uid="{26F77249-1861-434C-B4A5-451DBA58D192}" name="Cuisine ID"/>
    <tableColumn id="2" xr3:uid="{7C1D5161-DD1B-4202-B387-F236FCAD31C7}" name="Cuisi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F40A47-0047-4120-A241-30AA5B404DFC}" name="LocationLookup" displayName="LocationLookup" ref="A1:B17" totalsRowShown="0" headerRowDxfId="0">
  <autoFilter ref="A1:B17" xr:uid="{22F40A47-0047-4120-A241-30AA5B404DFC}"/>
  <tableColumns count="2">
    <tableColumn id="1" xr3:uid="{2062767F-63CD-4545-A36B-019F8600EF8A}" name="Location"/>
    <tableColumn id="2" xr3:uid="{AC2D4661-38C8-48E3-BA04-566AACD9E268}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H29" sqref="H29"/>
    </sheetView>
  </sheetViews>
  <sheetFormatPr baseColWidth="10" defaultColWidth="8.83203125" defaultRowHeight="15" x14ac:dyDescent="0.2"/>
  <cols>
    <col min="1" max="1" width="15.6640625" bestFit="1" customWidth="1"/>
    <col min="2" max="2" width="25.83203125" bestFit="1" customWidth="1"/>
    <col min="3" max="3" width="12.5" bestFit="1" customWidth="1"/>
    <col min="4" max="4" width="13.33203125" customWidth="1"/>
    <col min="5" max="5" width="15.5" customWidth="1"/>
    <col min="6" max="6" width="22.5" customWidth="1"/>
    <col min="7" max="7" width="11.33203125" customWidth="1"/>
    <col min="8" max="8" width="18.5" bestFit="1" customWidth="1"/>
    <col min="9" max="9" width="14" bestFit="1" customWidth="1"/>
    <col min="10" max="10" width="16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t="s">
        <v>10</v>
      </c>
      <c r="B2" t="s">
        <v>11</v>
      </c>
      <c r="C2" t="s">
        <v>12</v>
      </c>
      <c r="D2" t="str">
        <f>VLOOKUP(C2,CuisineLookup[],2,FALSE)</f>
        <v>Chinese</v>
      </c>
      <c r="E2" t="s">
        <v>13</v>
      </c>
      <c r="F2" t="str">
        <f>VLOOKUP(E2,LocationLookup[],2,FALSE)</f>
        <v>Sydney CBD</v>
      </c>
      <c r="G2" s="5">
        <v>9</v>
      </c>
      <c r="H2" t="s">
        <v>14</v>
      </c>
      <c r="I2" t="s">
        <v>15</v>
      </c>
      <c r="J2" t="s">
        <v>16</v>
      </c>
    </row>
    <row r="3" spans="1:10" x14ac:dyDescent="0.2">
      <c r="A3" t="s">
        <v>17</v>
      </c>
      <c r="B3" t="s">
        <v>18</v>
      </c>
      <c r="C3" t="s">
        <v>19</v>
      </c>
      <c r="D3" t="str">
        <f>VLOOKUP(C3,CuisineLookup[],2,FALSE)</f>
        <v>Korean</v>
      </c>
      <c r="E3" t="s">
        <v>20</v>
      </c>
      <c r="F3" t="str">
        <f>VLOOKUP(E3,LocationLookup[],2,FALSE)</f>
        <v>Sydney CBD</v>
      </c>
      <c r="G3" s="5">
        <v>8</v>
      </c>
      <c r="H3" t="s">
        <v>21</v>
      </c>
      <c r="I3" t="s">
        <v>22</v>
      </c>
      <c r="J3" t="s">
        <v>16</v>
      </c>
    </row>
    <row r="4" spans="1:10" x14ac:dyDescent="0.2">
      <c r="A4" t="s">
        <v>23</v>
      </c>
      <c r="B4" t="s">
        <v>24</v>
      </c>
      <c r="C4" t="s">
        <v>25</v>
      </c>
      <c r="D4" t="str">
        <f>VLOOKUP(C4,CuisineLookup[],2,FALSE)</f>
        <v>Deli</v>
      </c>
      <c r="E4" t="s">
        <v>26</v>
      </c>
      <c r="F4" t="str">
        <f>VLOOKUP(E4,LocationLookup[],2,FALSE)</f>
        <v>South-West Sydney</v>
      </c>
      <c r="G4" s="5">
        <v>8.5</v>
      </c>
      <c r="H4" t="s">
        <v>21</v>
      </c>
      <c r="I4" t="s">
        <v>22</v>
      </c>
      <c r="J4" t="s">
        <v>16</v>
      </c>
    </row>
    <row r="5" spans="1:10" x14ac:dyDescent="0.2">
      <c r="A5" t="s">
        <v>27</v>
      </c>
      <c r="B5" t="s">
        <v>28</v>
      </c>
      <c r="C5" t="s">
        <v>29</v>
      </c>
      <c r="D5" t="str">
        <f>VLOOKUP(C5,CuisineLookup[],2,FALSE)</f>
        <v>British</v>
      </c>
      <c r="E5" t="s">
        <v>30</v>
      </c>
      <c r="F5" t="str">
        <f>VLOOKUP(E5,LocationLookup[],2,FALSE)</f>
        <v>South-West Sydney</v>
      </c>
      <c r="G5" s="5">
        <v>5</v>
      </c>
      <c r="H5" t="s">
        <v>21</v>
      </c>
      <c r="I5" t="s">
        <v>31</v>
      </c>
      <c r="J5" t="s">
        <v>32</v>
      </c>
    </row>
    <row r="6" spans="1:10" x14ac:dyDescent="0.2">
      <c r="A6" t="s">
        <v>33</v>
      </c>
      <c r="B6" t="s">
        <v>34</v>
      </c>
      <c r="C6" t="s">
        <v>35</v>
      </c>
      <c r="D6" t="str">
        <f>VLOOKUP(C6,CuisineLookup[],2,FALSE)</f>
        <v>American</v>
      </c>
      <c r="E6" t="s">
        <v>36</v>
      </c>
      <c r="F6" t="str">
        <f>VLOOKUP(E6,LocationLookup[],2,FALSE)</f>
        <v>North-West Sydney</v>
      </c>
      <c r="G6" s="6">
        <v>8.3000000000000007</v>
      </c>
      <c r="H6" t="s">
        <v>14</v>
      </c>
      <c r="I6" t="s">
        <v>22</v>
      </c>
      <c r="J6" t="s">
        <v>16</v>
      </c>
    </row>
    <row r="7" spans="1:10" x14ac:dyDescent="0.2">
      <c r="A7" t="s">
        <v>37</v>
      </c>
      <c r="B7" t="s">
        <v>38</v>
      </c>
      <c r="C7" t="s">
        <v>19</v>
      </c>
      <c r="D7" t="str">
        <f>VLOOKUP(C7,CuisineLookup[],2,FALSE)</f>
        <v>Korean</v>
      </c>
      <c r="E7" t="s">
        <v>39</v>
      </c>
      <c r="F7" t="str">
        <f>VLOOKUP(E7,LocationLookup[],2,FALSE)</f>
        <v>Sydney CBD</v>
      </c>
      <c r="G7" s="5">
        <v>7</v>
      </c>
      <c r="H7" t="s">
        <v>21</v>
      </c>
      <c r="I7" t="s">
        <v>22</v>
      </c>
      <c r="J7" t="s">
        <v>40</v>
      </c>
    </row>
    <row r="8" spans="1:10" x14ac:dyDescent="0.2">
      <c r="A8" t="s">
        <v>41</v>
      </c>
      <c r="B8" s="4" t="s">
        <v>42</v>
      </c>
      <c r="C8" t="s">
        <v>43</v>
      </c>
      <c r="D8" t="str">
        <f>VLOOKUP(C8,CuisineLookup[],2,FALSE)</f>
        <v>Japanese</v>
      </c>
      <c r="E8" t="s">
        <v>44</v>
      </c>
      <c r="F8" t="str">
        <f>VLOOKUP(E8,LocationLookup[],2,FALSE)</f>
        <v>Sydney CBD</v>
      </c>
      <c r="G8" s="5">
        <v>9</v>
      </c>
      <c r="H8" t="s">
        <v>45</v>
      </c>
      <c r="I8" t="s">
        <v>22</v>
      </c>
      <c r="J8" t="s">
        <v>16</v>
      </c>
    </row>
    <row r="9" spans="1:10" x14ac:dyDescent="0.2">
      <c r="A9" t="s">
        <v>46</v>
      </c>
      <c r="B9" t="s">
        <v>47</v>
      </c>
      <c r="C9" t="s">
        <v>48</v>
      </c>
      <c r="D9" t="str">
        <f>VLOOKUP(C9,CuisineLookup[],2,FALSE)</f>
        <v>Afghan</v>
      </c>
      <c r="E9" t="s">
        <v>49</v>
      </c>
      <c r="F9" t="str">
        <f>VLOOKUP(E9,LocationLookup[],2,FALSE)</f>
        <v>Western Sydney</v>
      </c>
      <c r="G9" s="7">
        <v>8</v>
      </c>
      <c r="H9" t="s">
        <v>21</v>
      </c>
      <c r="I9" t="s">
        <v>15</v>
      </c>
      <c r="J9" t="s">
        <v>16</v>
      </c>
    </row>
    <row r="10" spans="1:10" x14ac:dyDescent="0.2">
      <c r="A10" t="s">
        <v>50</v>
      </c>
      <c r="B10" t="s">
        <v>51</v>
      </c>
      <c r="C10" t="s">
        <v>35</v>
      </c>
      <c r="D10" t="str">
        <f>VLOOKUP(C10,CuisineLookup[],2,FALSE)</f>
        <v>American</v>
      </c>
      <c r="E10" t="s">
        <v>52</v>
      </c>
      <c r="F10" t="str">
        <f>VLOOKUP(E10,LocationLookup[],2,FALSE)</f>
        <v>Outer-Western Sydney</v>
      </c>
      <c r="G10" s="5">
        <v>9.3000000000000007</v>
      </c>
      <c r="H10" t="s">
        <v>45</v>
      </c>
      <c r="I10" t="s">
        <v>15</v>
      </c>
      <c r="J10" t="s">
        <v>16</v>
      </c>
    </row>
    <row r="11" spans="1:10" x14ac:dyDescent="0.2">
      <c r="A11" t="s">
        <v>53</v>
      </c>
      <c r="B11" s="3" t="s">
        <v>54</v>
      </c>
      <c r="C11" t="s">
        <v>55</v>
      </c>
      <c r="D11" t="str">
        <f>VLOOKUP(C11,CuisineLookup[],2,FALSE)</f>
        <v>Greek</v>
      </c>
      <c r="E11" t="s">
        <v>20</v>
      </c>
      <c r="F11" t="str">
        <f>VLOOKUP(E11,LocationLookup[],2,FALSE)</f>
        <v>Sydney CBD</v>
      </c>
      <c r="G11" s="5">
        <v>1.5</v>
      </c>
      <c r="H11" t="s">
        <v>21</v>
      </c>
      <c r="I11" t="s">
        <v>31</v>
      </c>
      <c r="J11" t="s">
        <v>32</v>
      </c>
    </row>
    <row r="12" spans="1:10" x14ac:dyDescent="0.2">
      <c r="A12" t="s">
        <v>56</v>
      </c>
      <c r="B12" t="s">
        <v>57</v>
      </c>
      <c r="C12" t="s">
        <v>58</v>
      </c>
      <c r="D12" t="str">
        <f>VLOOKUP(C12,CuisineLookup[],2,FALSE)</f>
        <v>Yemeni</v>
      </c>
      <c r="E12" t="s">
        <v>59</v>
      </c>
      <c r="F12" t="str">
        <f>VLOOKUP(E12,LocationLookup[],2,FALSE)</f>
        <v>Sydney CBD</v>
      </c>
      <c r="G12" s="7">
        <v>8</v>
      </c>
      <c r="H12" t="s">
        <v>45</v>
      </c>
      <c r="I12" t="s">
        <v>15</v>
      </c>
      <c r="J12" t="s">
        <v>16</v>
      </c>
    </row>
    <row r="13" spans="1:10" x14ac:dyDescent="0.2">
      <c r="A13" t="s">
        <v>60</v>
      </c>
      <c r="B13" t="s">
        <v>61</v>
      </c>
      <c r="C13" t="s">
        <v>62</v>
      </c>
      <c r="D13" t="str">
        <f>VLOOKUP(C13,CuisineLookup[],2,FALSE)</f>
        <v>Turkish</v>
      </c>
      <c r="E13" t="s">
        <v>63</v>
      </c>
      <c r="F13" t="str">
        <f>VLOOKUP(E13,LocationLookup[],2,FALSE)</f>
        <v>Sydney CBD</v>
      </c>
      <c r="G13" s="5">
        <v>7</v>
      </c>
      <c r="H13" t="s">
        <v>45</v>
      </c>
      <c r="I13" t="s">
        <v>64</v>
      </c>
      <c r="J13" t="s">
        <v>16</v>
      </c>
    </row>
    <row r="14" spans="1:10" x14ac:dyDescent="0.2">
      <c r="A14" t="s">
        <v>65</v>
      </c>
      <c r="B14" t="s">
        <v>66</v>
      </c>
      <c r="C14" t="s">
        <v>12</v>
      </c>
      <c r="D14" t="str">
        <f>VLOOKUP(C14,CuisineLookup[],2,FALSE)</f>
        <v>Chinese</v>
      </c>
      <c r="E14" t="s">
        <v>13</v>
      </c>
      <c r="F14" t="str">
        <f>VLOOKUP(E14,LocationLookup[],2,FALSE)</f>
        <v>Sydney CBD</v>
      </c>
      <c r="G14" s="5">
        <v>7</v>
      </c>
      <c r="H14" t="s">
        <v>14</v>
      </c>
      <c r="I14" t="s">
        <v>22</v>
      </c>
      <c r="J14" t="s">
        <v>16</v>
      </c>
    </row>
    <row r="15" spans="1:10" x14ac:dyDescent="0.2">
      <c r="A15" t="s">
        <v>67</v>
      </c>
      <c r="B15" t="s">
        <v>68</v>
      </c>
      <c r="C15" t="s">
        <v>69</v>
      </c>
      <c r="D15" t="str">
        <f>VLOOKUP(C15,CuisineLookup[],2,FALSE)</f>
        <v>Portuguese</v>
      </c>
      <c r="E15" t="s">
        <v>70</v>
      </c>
      <c r="F15" t="str">
        <f>VLOOKUP(E15,LocationLookup[],2,FALSE)</f>
        <v>North-West Sydney</v>
      </c>
      <c r="G15" s="6">
        <v>4.5</v>
      </c>
      <c r="H15" t="s">
        <v>21</v>
      </c>
      <c r="I15" t="s">
        <v>22</v>
      </c>
      <c r="J15" t="s">
        <v>40</v>
      </c>
    </row>
    <row r="16" spans="1:10" x14ac:dyDescent="0.2">
      <c r="A16" t="s">
        <v>71</v>
      </c>
      <c r="B16" t="s">
        <v>72</v>
      </c>
      <c r="C16" t="s">
        <v>73</v>
      </c>
      <c r="D16" t="str">
        <f>VLOOKUP(C16,CuisineLookup[],2,FALSE)</f>
        <v>Lebanese</v>
      </c>
      <c r="E16" t="s">
        <v>36</v>
      </c>
      <c r="F16" t="str">
        <f>VLOOKUP(E16,LocationLookup[],2,FALSE)</f>
        <v>North-West Sydney</v>
      </c>
      <c r="G16" s="5">
        <v>8.1999999999999993</v>
      </c>
      <c r="H16" t="s">
        <v>14</v>
      </c>
      <c r="I16" t="s">
        <v>22</v>
      </c>
      <c r="J16" t="s">
        <v>16</v>
      </c>
    </row>
    <row r="17" spans="1:10" x14ac:dyDescent="0.2">
      <c r="A17" t="s">
        <v>74</v>
      </c>
      <c r="B17" t="s">
        <v>75</v>
      </c>
      <c r="C17" t="s">
        <v>43</v>
      </c>
      <c r="D17" t="str">
        <f>VLOOKUP(C17,CuisineLookup[],2,FALSE)</f>
        <v>Japanese</v>
      </c>
      <c r="E17" t="s">
        <v>76</v>
      </c>
      <c r="F17" t="str">
        <f>VLOOKUP(E17,LocationLookup[],2,FALSE)</f>
        <v>Sydney CBD</v>
      </c>
      <c r="G17" s="5">
        <v>9</v>
      </c>
      <c r="H17" t="s">
        <v>14</v>
      </c>
      <c r="I17" t="s">
        <v>22</v>
      </c>
      <c r="J17" t="s">
        <v>16</v>
      </c>
    </row>
    <row r="18" spans="1:10" x14ac:dyDescent="0.2">
      <c r="A18" t="s">
        <v>77</v>
      </c>
      <c r="B18" t="s">
        <v>78</v>
      </c>
      <c r="C18" t="s">
        <v>35</v>
      </c>
      <c r="D18" t="str">
        <f>VLOOKUP(C18,CuisineLookup[],2,FALSE)</f>
        <v>American</v>
      </c>
      <c r="E18" t="s">
        <v>79</v>
      </c>
      <c r="F18" t="str">
        <f>VLOOKUP(E18,LocationLookup[],2,FALSE)</f>
        <v>Sydney CBD</v>
      </c>
      <c r="G18" s="5">
        <v>6.5</v>
      </c>
      <c r="H18" t="s">
        <v>14</v>
      </c>
      <c r="I18" t="s">
        <v>15</v>
      </c>
      <c r="J18" t="s">
        <v>16</v>
      </c>
    </row>
    <row r="19" spans="1:10" x14ac:dyDescent="0.2">
      <c r="A19" t="s">
        <v>80</v>
      </c>
      <c r="B19" t="s">
        <v>81</v>
      </c>
      <c r="C19" t="s">
        <v>35</v>
      </c>
      <c r="D19" t="str">
        <f>VLOOKUP(C19,CuisineLookup[],2,FALSE)</f>
        <v>American</v>
      </c>
      <c r="E19" t="s">
        <v>82</v>
      </c>
      <c r="F19" t="str">
        <f>VLOOKUP(E19,LocationLookup[],2,FALSE)</f>
        <v>Western Sydney</v>
      </c>
      <c r="G19" s="5">
        <v>5</v>
      </c>
      <c r="H19" t="s">
        <v>45</v>
      </c>
      <c r="I19" t="s">
        <v>15</v>
      </c>
      <c r="J19" t="s">
        <v>32</v>
      </c>
    </row>
    <row r="20" spans="1:10" x14ac:dyDescent="0.2">
      <c r="A20" t="s">
        <v>83</v>
      </c>
      <c r="B20" t="s">
        <v>84</v>
      </c>
      <c r="C20" t="s">
        <v>35</v>
      </c>
      <c r="D20" t="str">
        <f>VLOOKUP(C20,CuisineLookup[],2,FALSE)</f>
        <v>American</v>
      </c>
      <c r="E20" t="s">
        <v>20</v>
      </c>
      <c r="F20" t="str">
        <f>VLOOKUP(E20,LocationLookup[],2,FALSE)</f>
        <v>Sydney CBD</v>
      </c>
      <c r="G20" s="6">
        <v>6.5</v>
      </c>
      <c r="H20" t="s">
        <v>21</v>
      </c>
      <c r="I20" t="s">
        <v>31</v>
      </c>
      <c r="J20" t="s">
        <v>16</v>
      </c>
    </row>
    <row r="21" spans="1:10" x14ac:dyDescent="0.2">
      <c r="A21" t="s">
        <v>85</v>
      </c>
      <c r="B21" t="s">
        <v>86</v>
      </c>
      <c r="C21" t="s">
        <v>87</v>
      </c>
      <c r="D21" t="str">
        <f>VLOOKUP(C21,CuisineLookup[],2,FALSE)</f>
        <v>Dessert</v>
      </c>
      <c r="E21" t="s">
        <v>20</v>
      </c>
      <c r="F21" t="str">
        <f>VLOOKUP(E21,LocationLookup[],2,FALSE)</f>
        <v>Sydney CBD</v>
      </c>
      <c r="G21" s="5">
        <v>8</v>
      </c>
      <c r="H21" t="s">
        <v>45</v>
      </c>
      <c r="I21" t="s">
        <v>22</v>
      </c>
      <c r="J2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8E4B-B5D3-4E96-B5B9-3328678E48C5}">
  <dimension ref="A1:E14"/>
  <sheetViews>
    <sheetView workbookViewId="0">
      <selection activeCell="G5" sqref="G5"/>
    </sheetView>
  </sheetViews>
  <sheetFormatPr baseColWidth="10" defaultColWidth="8.83203125" defaultRowHeight="15" x14ac:dyDescent="0.2"/>
  <cols>
    <col min="1" max="1" width="30" customWidth="1"/>
    <col min="2" max="2" width="14.6640625" customWidth="1"/>
    <col min="4" max="4" width="10.5" customWidth="1"/>
    <col min="5" max="5" width="12.83203125" customWidth="1"/>
  </cols>
  <sheetData>
    <row r="1" spans="1:5" x14ac:dyDescent="0.2">
      <c r="A1" s="10" t="s">
        <v>88</v>
      </c>
      <c r="B1" s="10" t="s">
        <v>89</v>
      </c>
      <c r="D1" s="10" t="s">
        <v>3</v>
      </c>
      <c r="E1" s="10" t="s">
        <v>90</v>
      </c>
    </row>
    <row r="2" spans="1:5" x14ac:dyDescent="0.2">
      <c r="A2" s="2" t="s">
        <v>91</v>
      </c>
      <c r="B2" s="9">
        <f>AVERAGE(Food_Ratings!G2:G20)</f>
        <v>7.121052631578948</v>
      </c>
      <c r="D2" s="2" t="s">
        <v>92</v>
      </c>
      <c r="E2" s="8">
        <f>SUMIF(Food_Ratings!$D$2:$D$21,D2,Food_Ratings!$G$2:$G$21)</f>
        <v>35.6</v>
      </c>
    </row>
    <row r="3" spans="1:5" x14ac:dyDescent="0.2">
      <c r="A3" s="2" t="s">
        <v>93</v>
      </c>
      <c r="B3" s="9">
        <f>COUNTA(Food_Ratings!B2:B20)</f>
        <v>19</v>
      </c>
      <c r="D3" s="2" t="s">
        <v>94</v>
      </c>
      <c r="E3" s="8">
        <f>SUMIF(Food_Ratings!$D$2:$D$21,D3,Food_Ratings!$G$2:$G$21)</f>
        <v>4.5</v>
      </c>
    </row>
    <row r="4" spans="1:5" x14ac:dyDescent="0.2">
      <c r="A4" s="2" t="s">
        <v>95</v>
      </c>
      <c r="B4" s="9">
        <f>COUNTIF(Food_Ratings!G2:G20,"&gt;=8")</f>
        <v>10</v>
      </c>
      <c r="D4" s="2" t="s">
        <v>96</v>
      </c>
      <c r="E4" s="8">
        <f>SUMIF(Food_Ratings!$D$2:$D$21,D4,Food_Ratings!$G$2:$G$21)</f>
        <v>8</v>
      </c>
    </row>
    <row r="5" spans="1:5" x14ac:dyDescent="0.2">
      <c r="A5" s="2" t="s">
        <v>97</v>
      </c>
      <c r="B5" s="9">
        <f>MAX(Food_Ratings!G2:G20)</f>
        <v>9.3000000000000007</v>
      </c>
      <c r="D5" s="2" t="s">
        <v>98</v>
      </c>
      <c r="E5" s="8">
        <f>SUMIF(Food_Ratings!$D$2:$D$21,D5,Food_Ratings!$G$2:$G$21)</f>
        <v>8</v>
      </c>
    </row>
    <row r="6" spans="1:5" x14ac:dyDescent="0.2">
      <c r="D6" s="2" t="s">
        <v>99</v>
      </c>
      <c r="E6" s="8">
        <f>SUMIF(Food_Ratings!$D$2:$D$21,D6,Food_Ratings!$G$2:$G$21)</f>
        <v>15</v>
      </c>
    </row>
    <row r="7" spans="1:5" x14ac:dyDescent="0.2">
      <c r="D7" s="2" t="s">
        <v>100</v>
      </c>
      <c r="E7" s="8">
        <f>SUMIF(Food_Ratings!$D$2:$D$21,D7,Food_Ratings!$G$2:$G$21)</f>
        <v>5</v>
      </c>
    </row>
    <row r="8" spans="1:5" x14ac:dyDescent="0.2">
      <c r="D8" s="2" t="s">
        <v>101</v>
      </c>
      <c r="E8" s="8">
        <f>SUMIF(Food_Ratings!$D$2:$D$21,D8,Food_Ratings!$G$2:$G$21)</f>
        <v>8.5</v>
      </c>
    </row>
    <row r="9" spans="1:5" x14ac:dyDescent="0.2">
      <c r="D9" s="2" t="s">
        <v>102</v>
      </c>
      <c r="E9" s="8">
        <f>SUMIF(Food_Ratings!$D$2:$D$21,D9,Food_Ratings!$G$2:$G$21)</f>
        <v>18</v>
      </c>
    </row>
    <row r="10" spans="1:5" x14ac:dyDescent="0.2">
      <c r="D10" s="2" t="s">
        <v>103</v>
      </c>
      <c r="E10" s="8">
        <f>SUMIF(Food_Ratings!$D$2:$D$21,D10,Food_Ratings!$G$2:$G$21)</f>
        <v>8</v>
      </c>
    </row>
    <row r="11" spans="1:5" x14ac:dyDescent="0.2">
      <c r="D11" s="2" t="s">
        <v>104</v>
      </c>
      <c r="E11" s="8">
        <f>SUMIF(Food_Ratings!$D$2:$D$21,D11,Food_Ratings!$G$2:$G$21)</f>
        <v>1.5</v>
      </c>
    </row>
    <row r="12" spans="1:5" x14ac:dyDescent="0.2">
      <c r="D12" s="2" t="s">
        <v>105</v>
      </c>
      <c r="E12" s="8">
        <f>SUMIF(Food_Ratings!$D$2:$D$21,D12,Food_Ratings!$G$2:$G$21)</f>
        <v>8.1999999999999993</v>
      </c>
    </row>
    <row r="13" spans="1:5" x14ac:dyDescent="0.2">
      <c r="D13" s="2" t="s">
        <v>106</v>
      </c>
      <c r="E13" s="8">
        <f>SUMIF(Food_Ratings!$D$2:$D$21,D13,Food_Ratings!$G$2:$G$21)</f>
        <v>16</v>
      </c>
    </row>
    <row r="14" spans="1:5" x14ac:dyDescent="0.2">
      <c r="D14" s="2" t="s">
        <v>107</v>
      </c>
      <c r="E14" s="8">
        <f>SUMIF(Food_Ratings!$D$2:$D$21,D14,Food_Ratings!$G$2:$G$21)</f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9160C-F470-42C2-87FF-B26ADCB0A33C}">
  <dimension ref="A1:B14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12.33203125" bestFit="1" customWidth="1"/>
    <col min="2" max="2" width="13.33203125" customWidth="1"/>
  </cols>
  <sheetData>
    <row r="1" spans="1:2" x14ac:dyDescent="0.2">
      <c r="A1" s="2" t="s">
        <v>2</v>
      </c>
      <c r="B1" s="2" t="s">
        <v>3</v>
      </c>
    </row>
    <row r="2" spans="1:2" x14ac:dyDescent="0.2">
      <c r="A2" t="s">
        <v>35</v>
      </c>
      <c r="B2" t="s">
        <v>92</v>
      </c>
    </row>
    <row r="3" spans="1:2" x14ac:dyDescent="0.2">
      <c r="A3" t="s">
        <v>69</v>
      </c>
      <c r="B3" t="s">
        <v>94</v>
      </c>
    </row>
    <row r="4" spans="1:2" x14ac:dyDescent="0.2">
      <c r="A4" t="s">
        <v>48</v>
      </c>
      <c r="B4" t="s">
        <v>96</v>
      </c>
    </row>
    <row r="5" spans="1:2" x14ac:dyDescent="0.2">
      <c r="A5" t="s">
        <v>58</v>
      </c>
      <c r="B5" t="s">
        <v>98</v>
      </c>
    </row>
    <row r="6" spans="1:2" x14ac:dyDescent="0.2">
      <c r="A6" t="s">
        <v>19</v>
      </c>
      <c r="B6" t="s">
        <v>99</v>
      </c>
    </row>
    <row r="7" spans="1:2" x14ac:dyDescent="0.2">
      <c r="A7" t="s">
        <v>29</v>
      </c>
      <c r="B7" t="s">
        <v>100</v>
      </c>
    </row>
    <row r="8" spans="1:2" x14ac:dyDescent="0.2">
      <c r="A8" t="s">
        <v>25</v>
      </c>
      <c r="B8" t="s">
        <v>101</v>
      </c>
    </row>
    <row r="9" spans="1:2" x14ac:dyDescent="0.2">
      <c r="A9" t="s">
        <v>43</v>
      </c>
      <c r="B9" t="s">
        <v>102</v>
      </c>
    </row>
    <row r="10" spans="1:2" x14ac:dyDescent="0.2">
      <c r="A10" t="s">
        <v>87</v>
      </c>
      <c r="B10" t="s">
        <v>103</v>
      </c>
    </row>
    <row r="11" spans="1:2" x14ac:dyDescent="0.2">
      <c r="A11" t="s">
        <v>55</v>
      </c>
      <c r="B11" t="s">
        <v>104</v>
      </c>
    </row>
    <row r="12" spans="1:2" x14ac:dyDescent="0.2">
      <c r="A12" t="s">
        <v>73</v>
      </c>
      <c r="B12" t="s">
        <v>105</v>
      </c>
    </row>
    <row r="13" spans="1:2" x14ac:dyDescent="0.2">
      <c r="A13" t="s">
        <v>12</v>
      </c>
      <c r="B13" t="s">
        <v>106</v>
      </c>
    </row>
    <row r="14" spans="1:2" x14ac:dyDescent="0.2">
      <c r="A14" t="s">
        <v>62</v>
      </c>
      <c r="B14" t="s">
        <v>107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CB86-A775-481E-B404-2853B8F2E207}">
  <dimension ref="A1:B17"/>
  <sheetViews>
    <sheetView workbookViewId="0"/>
  </sheetViews>
  <sheetFormatPr baseColWidth="10" defaultColWidth="8.83203125" defaultRowHeight="15" x14ac:dyDescent="0.2"/>
  <cols>
    <col min="1" max="1" width="14.83203125" customWidth="1"/>
    <col min="2" max="2" width="21.33203125" bestFit="1" customWidth="1"/>
    <col min="4" max="4" width="20.83203125" customWidth="1"/>
  </cols>
  <sheetData>
    <row r="1" spans="1:2" x14ac:dyDescent="0.2">
      <c r="A1" s="2" t="s">
        <v>4</v>
      </c>
      <c r="B1" s="2" t="s">
        <v>5</v>
      </c>
    </row>
    <row r="2" spans="1:2" x14ac:dyDescent="0.2">
      <c r="A2" t="s">
        <v>70</v>
      </c>
      <c r="B2" t="s">
        <v>108</v>
      </c>
    </row>
    <row r="3" spans="1:2" x14ac:dyDescent="0.2">
      <c r="A3" t="s">
        <v>36</v>
      </c>
      <c r="B3" t="s">
        <v>108</v>
      </c>
    </row>
    <row r="4" spans="1:2" x14ac:dyDescent="0.2">
      <c r="A4" t="s">
        <v>49</v>
      </c>
      <c r="B4" t="s">
        <v>109</v>
      </c>
    </row>
    <row r="5" spans="1:2" x14ac:dyDescent="0.2">
      <c r="A5" t="s">
        <v>110</v>
      </c>
      <c r="B5" t="s">
        <v>109</v>
      </c>
    </row>
    <row r="6" spans="1:2" x14ac:dyDescent="0.2">
      <c r="A6" t="s">
        <v>13</v>
      </c>
      <c r="B6" t="s">
        <v>111</v>
      </c>
    </row>
    <row r="7" spans="1:2" x14ac:dyDescent="0.2">
      <c r="A7" t="s">
        <v>63</v>
      </c>
      <c r="B7" t="s">
        <v>111</v>
      </c>
    </row>
    <row r="8" spans="1:2" x14ac:dyDescent="0.2">
      <c r="A8" t="s">
        <v>20</v>
      </c>
      <c r="B8" t="s">
        <v>111</v>
      </c>
    </row>
    <row r="9" spans="1:2" x14ac:dyDescent="0.2">
      <c r="A9" t="s">
        <v>44</v>
      </c>
      <c r="B9" t="s">
        <v>111</v>
      </c>
    </row>
    <row r="10" spans="1:2" x14ac:dyDescent="0.2">
      <c r="A10" t="s">
        <v>26</v>
      </c>
      <c r="B10" t="s">
        <v>112</v>
      </c>
    </row>
    <row r="11" spans="1:2" x14ac:dyDescent="0.2">
      <c r="A11" t="s">
        <v>30</v>
      </c>
      <c r="B11" t="s">
        <v>112</v>
      </c>
    </row>
    <row r="12" spans="1:2" x14ac:dyDescent="0.2">
      <c r="A12" t="s">
        <v>39</v>
      </c>
      <c r="B12" t="s">
        <v>111</v>
      </c>
    </row>
    <row r="13" spans="1:2" x14ac:dyDescent="0.2">
      <c r="A13" t="s">
        <v>59</v>
      </c>
      <c r="B13" t="s">
        <v>111</v>
      </c>
    </row>
    <row r="14" spans="1:2" x14ac:dyDescent="0.2">
      <c r="A14" t="s">
        <v>79</v>
      </c>
      <c r="B14" t="s">
        <v>111</v>
      </c>
    </row>
    <row r="15" spans="1:2" x14ac:dyDescent="0.2">
      <c r="A15" t="s">
        <v>76</v>
      </c>
      <c r="B15" t="s">
        <v>111</v>
      </c>
    </row>
    <row r="16" spans="1:2" x14ac:dyDescent="0.2">
      <c r="A16" t="s">
        <v>52</v>
      </c>
      <c r="B16" t="s">
        <v>113</v>
      </c>
    </row>
    <row r="17" spans="1:2" x14ac:dyDescent="0.2">
      <c r="A17" t="s">
        <v>82</v>
      </c>
      <c r="B17" t="s">
        <v>109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Food_Ratings</vt:lpstr>
      <vt:lpstr>Analysis</vt:lpstr>
      <vt:lpstr>Cuisine_Lookup</vt:lpstr>
      <vt:lpstr>Location_Lookup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Emaan Anwer</cp:lastModifiedBy>
  <cp:revision/>
  <dcterms:created xsi:type="dcterms:W3CDTF">2026-09-23T22:38:59Z</dcterms:created>
  <dcterms:modified xsi:type="dcterms:W3CDTF">2026-10-06T02:58:54Z</dcterms:modified>
  <cp:category/>
  <cp:contentStatus/>
</cp:coreProperties>
</file>